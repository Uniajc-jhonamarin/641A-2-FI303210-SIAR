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cacioDesa\SIAR\"/>
    </mc:Choice>
  </mc:AlternateContent>
  <xr:revisionPtr revIDLastSave="3" documentId="8_{E2DBA87D-9D83-474B-B273-C51361D814EC}" xr6:coauthVersionLast="47" xr6:coauthVersionMax="47" xr10:uidLastSave="{1AFE2C41-C556-43A2-AD5B-B3DD2C35976E}"/>
  <bookViews>
    <workbookView xWindow="-120" yWindow="-120" windowWidth="29040" windowHeight="15720" firstSheet="1" activeTab="8" xr2:uid="{00000000-000D-0000-FFFF-FFFF00000000}"/>
  </bookViews>
  <sheets>
    <sheet name="Cronograma General" sheetId="4" r:id="rId1"/>
    <sheet name="PJOA" sheetId="5" r:id="rId2"/>
    <sheet name="HU" sheetId="1" r:id="rId3"/>
    <sheet name="CU" sheetId="2" r:id="rId4"/>
    <sheet name="RF-RNF" sheetId="3" r:id="rId5"/>
    <sheet name="ME-R" sheetId="6" r:id="rId6"/>
    <sheet name="DC" sheetId="7" r:id="rId7"/>
    <sheet name="DCPS" sheetId="8" r:id="rId8"/>
    <sheet name="DD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" i="4" l="1"/>
  <c r="H2" i="4"/>
  <c r="H1" i="4"/>
</calcChain>
</file>

<file path=xl/sharedStrings.xml><?xml version="1.0" encoding="utf-8"?>
<sst xmlns="http://schemas.openxmlformats.org/spreadsheetml/2006/main" count="643" uniqueCount="310">
  <si>
    <t>Actividad</t>
  </si>
  <si>
    <t>Responsable</t>
  </si>
  <si>
    <t>Fecha Inicio</t>
  </si>
  <si>
    <t>Fecha Fin</t>
  </si>
  <si>
    <t>Juan</t>
  </si>
  <si>
    <t>FASE 1 - ANALISIS Y DISENO</t>
  </si>
  <si>
    <t>Jhon</t>
  </si>
  <si>
    <t>Problema, justificacion, objetivos y alcance</t>
  </si>
  <si>
    <t>18/09/2026</t>
  </si>
  <si>
    <t>20/09/2026</t>
  </si>
  <si>
    <t>YA</t>
  </si>
  <si>
    <t>Historias de usuario</t>
  </si>
  <si>
    <t>21/09/2026</t>
  </si>
  <si>
    <t>23/09/2026</t>
  </si>
  <si>
    <t>Casos de uso y diagrama</t>
  </si>
  <si>
    <t>25/09/2026</t>
  </si>
  <si>
    <t>Requerimientos funcionales y no funcionales</t>
  </si>
  <si>
    <t>26/09/2026</t>
  </si>
  <si>
    <t>27/09/2026</t>
  </si>
  <si>
    <t>Modelo Entidad Relacion</t>
  </si>
  <si>
    <t>30/09/2026</t>
  </si>
  <si>
    <t>Diagrama de clases</t>
  </si>
  <si>
    <t>28/09/2026</t>
  </si>
  <si>
    <t>Diagrama de capas</t>
  </si>
  <si>
    <t>01/10/2026</t>
  </si>
  <si>
    <t>02/10/2026</t>
  </si>
  <si>
    <t>Diccionario de datos</t>
  </si>
  <si>
    <t>Definicion inicial MVP</t>
  </si>
  <si>
    <t>Juan y Jhon</t>
  </si>
  <si>
    <t>03/10/2026</t>
  </si>
  <si>
    <t>Integracion documento final</t>
  </si>
  <si>
    <t>05/10/2026</t>
  </si>
  <si>
    <t>Entrega Primer Corte</t>
  </si>
  <si>
    <t>Equipo</t>
  </si>
  <si>
    <t>06/10/2026</t>
  </si>
  <si>
    <t>FASE 2 - DESARROLLO MVP</t>
  </si>
  <si>
    <t>Incremento 1 - Login y Usuarios</t>
  </si>
  <si>
    <t>07/10/2026</t>
  </si>
  <si>
    <t>20/10/2026</t>
  </si>
  <si>
    <t>Incremento 2 - Productos/Menu</t>
  </si>
  <si>
    <t>21/10/2026</t>
  </si>
  <si>
    <t>05/11/2026</t>
  </si>
  <si>
    <t>Incremento 3 - Pedidos</t>
  </si>
  <si>
    <t>06/11/2026</t>
  </si>
  <si>
    <t>20/11/2026</t>
  </si>
  <si>
    <t>Incremento 4 - Facturacion Basica</t>
  </si>
  <si>
    <t>21/11/2026</t>
  </si>
  <si>
    <t>30/11/2026</t>
  </si>
  <si>
    <t>Pruebas y correcciones</t>
  </si>
  <si>
    <t>01/12/2026</t>
  </si>
  <si>
    <t>09/12/2026</t>
  </si>
  <si>
    <t>Entrega MVP</t>
  </si>
  <si>
    <t>10/12/2026</t>
  </si>
  <si>
    <t>Problema</t>
  </si>
  <si>
    <t>Actualmente, muchos restaurantes gestionan la información de productos, pedidos, mesas y facturación de forma manual o mediante herramientas separadas. Esta situación genera errores en el registro de pedidos, demoras en la atención al cliente, dificultades en el control de las mesas y problemas para consultar la información de manera rápida y organizada.
Además, la falta de centralización de los procesos dificulta la administración del restaurante y puede afectar la calidad del servicio prestado a los clientes.</t>
  </si>
  <si>
    <t>Justificación</t>
  </si>
  <si>
    <t>El desarrollo de un sistema de gestión para restaurante permitirá centralizar los procesos relacionados con usuarios, productos, pedidos y facturación en una única plataforma.
La implementación de esta solución contribuirá a mejorar la organización de la información, reducir errores operativos, agilizar la atención al cliente y facilitar la administración de las actividades diarias del establecimiento.
Adicionalmente, el proyecto permitirá aplicar los conocimientos adquiridos en Ingeniería de Software, bases de datos, programación orientada a objetos, control de versiones y diseño de sistemas.</t>
  </si>
  <si>
    <t>Objetivo General</t>
  </si>
  <si>
    <t>Desarrollar un sistema de información para apoyar la gestión operativa de un restaurante, permitiendo administrar usuarios, productos, pedidos y facturación de manera eficiente.</t>
  </si>
  <si>
    <t>Objetivos Específicos</t>
  </si>
  <si>
    <t>- Analizar los procesos involucrados en la operación de un restaurante.
- Diseñar los modelos y diagramas necesarios para representar el sistema.
- Implementar la gestión de usuarios y control de acceso.
- Implementar la gestión de productos y menú.
- Implementar la gestión de pedidos.
- Implementar la generación de facturas básicas.
- Utilizar GitHub para el control de versiones y seguimiento de los incrementos funcionales del proyecto.</t>
  </si>
  <si>
    <t>Alcance</t>
  </si>
  <si>
    <t>El proyecto contempla el desarrollo de un MVP (Producto Mínimo Viable) para la administración de un restaurante.
El sistema permitirá:
- Gestión de usuarios.
- Gestión de productos y menú.
- Registro de pedidos.
- Facturación básica.
- Consulta de información almacenada.
No hacen parte del MVP:
- Aplicación móvil.
- API REST.
- Microservicios.
- Integraciones externas.
- Reportes avanzados.
- Inventario avanzado.
- PQRS.</t>
  </si>
  <si>
    <t>ID</t>
  </si>
  <si>
    <t>Gestion/Modulo de</t>
  </si>
  <si>
    <t>Historia de Usuario</t>
  </si>
  <si>
    <t>HU-01</t>
  </si>
  <si>
    <t>Usuarios</t>
  </si>
  <si>
    <t>Como Administrador, quiero registrar usuarios para controlar el acceso al sistema.</t>
  </si>
  <si>
    <t>HU-02</t>
  </si>
  <si>
    <t>Como Administrador, quiero asignar roles a los usuarios para definir los permisos de cada uno.</t>
  </si>
  <si>
    <t>HU-03</t>
  </si>
  <si>
    <t>Como Administrador, quiero iniciar sesión para acceder a las funciones de administración.</t>
  </si>
  <si>
    <t>HU-04</t>
  </si>
  <si>
    <t>Menu</t>
  </si>
  <si>
    <t>Como Administrador, quiero registrar platos y bebidas para mantener actualizado el menú.</t>
  </si>
  <si>
    <t>HU-05</t>
  </si>
  <si>
    <t>Como Administrador, quiero actualizar la información de los productos para reflejar cambios de precio o disponibilidad.</t>
  </si>
  <si>
    <t>HU-06</t>
  </si>
  <si>
    <t>Mesas</t>
  </si>
  <si>
    <t>Como Mesero, quiero consultar las mesas disponibles para asignar clientes.</t>
  </si>
  <si>
    <t>HU-07</t>
  </si>
  <si>
    <t>Como Mesero, quiero ocupar una mesa para registrar que está siendo utilizada.</t>
  </si>
  <si>
    <t>HU-08</t>
  </si>
  <si>
    <t>Como Mesero, quiero liberar una mesa para que pueda ser utilizada nuevamente.</t>
  </si>
  <si>
    <t>HU-09</t>
  </si>
  <si>
    <t>Pedidos</t>
  </si>
  <si>
    <t>Como Mesero, quiero registrar pedidos para enviarlos a preparación.</t>
  </si>
  <si>
    <t>HU-10</t>
  </si>
  <si>
    <t>Pagos</t>
  </si>
  <si>
    <t>Como Cajero, quiero registrar pagos para finalizar las ventas.</t>
  </si>
  <si>
    <t>Caso de Uso</t>
  </si>
  <si>
    <t>Actor</t>
  </si>
  <si>
    <t>CU-01</t>
  </si>
  <si>
    <t>Registrar usuario</t>
  </si>
  <si>
    <t>Administrador</t>
  </si>
  <si>
    <t>CU-02</t>
  </si>
  <si>
    <t>Asignar rol a usuario</t>
  </si>
  <si>
    <t>CU-03</t>
  </si>
  <si>
    <t>Iniciar sesión</t>
  </si>
  <si>
    <t>Administrador, Cajero, Mesero</t>
  </si>
  <si>
    <t>CU-04</t>
  </si>
  <si>
    <t>Registrar producto</t>
  </si>
  <si>
    <t>CU-05</t>
  </si>
  <si>
    <t>Actualizar producto</t>
  </si>
  <si>
    <t>CU-06</t>
  </si>
  <si>
    <t>Consultar menu</t>
  </si>
  <si>
    <t>Mesero</t>
  </si>
  <si>
    <t>CU-07</t>
  </si>
  <si>
    <t>Consultar mesas disponibles</t>
  </si>
  <si>
    <t>CU-08</t>
  </si>
  <si>
    <t>Ocupar mesa</t>
  </si>
  <si>
    <t>CU-09</t>
  </si>
  <si>
    <t>Liberar mesa</t>
  </si>
  <si>
    <t>CU-10</t>
  </si>
  <si>
    <t>Registrar pedido</t>
  </si>
  <si>
    <t>CU-11</t>
  </si>
  <si>
    <t>Consultar estado del pedido</t>
  </si>
  <si>
    <t>CU-12</t>
  </si>
  <si>
    <t>Registrar pago</t>
  </si>
  <si>
    <t>Cajero</t>
  </si>
  <si>
    <t>CU-13</t>
  </si>
  <si>
    <t>Consultar historial de pagos</t>
  </si>
  <si>
    <t>Requerimientos Funcionales</t>
  </si>
  <si>
    <t>Requerimientos No Funcionales</t>
  </si>
  <si>
    <t>RF-01</t>
  </si>
  <si>
    <t>El sistema deberá permitir el inicio de sesión de usuarios autorizados.</t>
  </si>
  <si>
    <t>RNF-01</t>
  </si>
  <si>
    <t>La interfaz deberá ser sencilla e intuitiva para los usuarios del restaurante.</t>
  </si>
  <si>
    <t>RF-02</t>
  </si>
  <si>
    <t>El sistema deberá permitir registrar usuarios.</t>
  </si>
  <si>
    <t>RNF-02</t>
  </si>
  <si>
    <t>Las consultas de información deberán responder en tiempos adecuados para el usuario.</t>
  </si>
  <si>
    <t>RF-03</t>
  </si>
  <si>
    <t>El sistema deberá permitir consultar usuarios registrados.</t>
  </si>
  <si>
    <t>RNF-03</t>
  </si>
  <si>
    <t>El sistema deberá permitir acceso únicamente a usuarios autenticados.</t>
  </si>
  <si>
    <t>RF-04</t>
  </si>
  <si>
    <t>El sistema deberá permitir registrar productos del menú.</t>
  </si>
  <si>
    <t>RNF-04</t>
  </si>
  <si>
    <t>La información deberá mantenerse disponible mientras el sistema esté en ejecución.</t>
  </si>
  <si>
    <t>RF-05</t>
  </si>
  <si>
    <t>El sistema deberá permitir actualizar la información de los productos.</t>
  </si>
  <si>
    <t>RNF-05</t>
  </si>
  <si>
    <t>Toda la información deberá almacenarse en una base de datos MySQL.</t>
  </si>
  <si>
    <t>RF-06</t>
  </si>
  <si>
    <t>El sistema deberá permitir consultar los productos disponibles.</t>
  </si>
  <si>
    <t>RNF-06</t>
  </si>
  <si>
    <t>La aplicación deberá desarrollarse siguiendo la arquitectura MVC para facilitar futuras modificaciones.</t>
  </si>
  <si>
    <t>RF-07</t>
  </si>
  <si>
    <t>El sistema deberá permitir registrar pedidos.</t>
  </si>
  <si>
    <t>RNF-07</t>
  </si>
  <si>
    <t>La solución deberá desarrollarse utilizando Java 17, Swing y MySQL.</t>
  </si>
  <si>
    <t>RF-08</t>
  </si>
  <si>
    <t>El sistema deberá permitir agregar productos a un pedido.</t>
  </si>
  <si>
    <t>RF-09</t>
  </si>
  <si>
    <t>El sistema deberá permitir actualizar el estado de un pedido.</t>
  </si>
  <si>
    <t>RF-10</t>
  </si>
  <si>
    <t>El sistema deberá generar una factura básica asociada al pedido realizado.</t>
  </si>
  <si>
    <t>RF-11</t>
  </si>
  <si>
    <t>El sistema deberá consultar el historial de pedidos registrados.</t>
  </si>
  <si>
    <t>Tabla</t>
  </si>
  <si>
    <t>Campo</t>
  </si>
  <si>
    <t>Tipo de Dato</t>
  </si>
  <si>
    <t>PK / FK</t>
  </si>
  <si>
    <t>Nulo</t>
  </si>
  <si>
    <t>Descripción</t>
  </si>
  <si>
    <t>ROLES</t>
  </si>
  <si>
    <t>id</t>
  </si>
  <si>
    <t>INT</t>
  </si>
  <si>
    <t>PK</t>
  </si>
  <si>
    <t>NO</t>
  </si>
  <si>
    <t>Identificador único del rol.</t>
  </si>
  <si>
    <t>nombre</t>
  </si>
  <si>
    <t>VARCHAR(50)</t>
  </si>
  <si>
    <t>-</t>
  </si>
  <si>
    <t>Nombre del rol (ADMIN, MESERO, CAJERO, COCINA). Debe ser único.</t>
  </si>
  <si>
    <t>descripcion</t>
  </si>
  <si>
    <t>VARCHAR(255)</t>
  </si>
  <si>
    <t>SI</t>
  </si>
  <si>
    <t>Descripción detallada de los permisos asociados al rol.</t>
  </si>
  <si>
    <t>USUARIOS</t>
  </si>
  <si>
    <t>Identificador único del usuario (empleado).</t>
  </si>
  <si>
    <t>rol_id</t>
  </si>
  <si>
    <t>FK</t>
  </si>
  <si>
    <t>Llave foránea que conecta con la tabla ROLES.</t>
  </si>
  <si>
    <t>VARCHAR(150)</t>
  </si>
  <si>
    <t>Nombre completo del empleado.</t>
  </si>
  <si>
    <t>email</t>
  </si>
  <si>
    <t>Correo electrónico usado para iniciar sesión. Debe ser único.</t>
  </si>
  <si>
    <t>password_hash</t>
  </si>
  <si>
    <t>Contraseña encriptada (Ej. usando BCrypt).</t>
  </si>
  <si>
    <t>activo</t>
  </si>
  <si>
    <t>BOOLEAN</t>
  </si>
  <si>
    <t>Indica si el usuario tiene acceso al sistema (1=Activo, 0=Inactivo).</t>
  </si>
  <si>
    <t>fecha_creacion</t>
  </si>
  <si>
    <t>DATETIME</t>
  </si>
  <si>
    <t>Fecha y hora en que se registró el usuario en el sistema.</t>
  </si>
  <si>
    <t>CLIENTES</t>
  </si>
  <si>
    <t>Identificador único del cliente.</t>
  </si>
  <si>
    <t>tipo_documento</t>
  </si>
  <si>
    <t>VARCHAR(20)</t>
  </si>
  <si>
    <t>Tipo de documento (CC, NIT, Pasaporte, CE).</t>
  </si>
  <si>
    <t>numero_documento</t>
  </si>
  <si>
    <t>Número de identificación. Debe ser único.</t>
  </si>
  <si>
    <t>nombre_completo</t>
  </si>
  <si>
    <t>Nombre del cliente o razón social de la empresa.</t>
  </si>
  <si>
    <t>telefono</t>
  </si>
  <si>
    <t>Número de teléfono móvil o fijo de contacto.</t>
  </si>
  <si>
    <t>VARCHAR(100)</t>
  </si>
  <si>
    <t>Correo electrónico para enviar factura electrónica o promociones.</t>
  </si>
  <si>
    <t>direccion</t>
  </si>
  <si>
    <t>Dirección de residencia o domicilio fiscal.</t>
  </si>
  <si>
    <t>MESAS</t>
  </si>
  <si>
    <t>Identificador único de la mesa.</t>
  </si>
  <si>
    <t>numero</t>
  </si>
  <si>
    <t>Número físico de la mesa en el restaurante. Único.</t>
  </si>
  <si>
    <t>capacidad</t>
  </si>
  <si>
    <t>Cantidad máxima de personas que caben en la mesa.</t>
  </si>
  <si>
    <t>estado</t>
  </si>
  <si>
    <t>Estado actual: DISPONIBLE, OCUPADA, RESERVADA.</t>
  </si>
  <si>
    <t>RESERVAS</t>
  </si>
  <si>
    <t>Identificador único de la reserva.</t>
  </si>
  <si>
    <t>cliente_id</t>
  </si>
  <si>
    <t>Llave foránea a CLIENTES. Quién hace la reserva.</t>
  </si>
  <si>
    <t>mesa_id</t>
  </si>
  <si>
    <t>Llave foránea a MESAS. Mesa asignada.</t>
  </si>
  <si>
    <t>fecha_hora</t>
  </si>
  <si>
    <t>Fecha y hora programada para la reserva.</t>
  </si>
  <si>
    <t>numero_personas</t>
  </si>
  <si>
    <t>Cantidad confirmada de comensales.</t>
  </si>
  <si>
    <t>PENDIENTE, CONFIRMADA, CANCELADA, COMPLETADA.</t>
  </si>
  <si>
    <t>notas_reserva</t>
  </si>
  <si>
    <t>TEXT</t>
  </si>
  <si>
    <t>Peticiones especiales (cumpleaños, alergias previas, etc.).</t>
  </si>
  <si>
    <t>CATEGORIAS</t>
  </si>
  <si>
    <t>Identificador único de la categoría.</t>
  </si>
  <si>
    <t>Nombre (Ej. Entradas, Platos Fuertes, Bebidas).</t>
  </si>
  <si>
    <t>Breve descripción de los tipos de platos de esta categoría.</t>
  </si>
  <si>
    <t>activa</t>
  </si>
  <si>
    <t>Define si la categoría se muestra actualmente en el menú (1=Sí).</t>
  </si>
  <si>
    <t>PRODUCTOS</t>
  </si>
  <si>
    <t>Identificador único del producto o platillo.</t>
  </si>
  <si>
    <t>categoria_id</t>
  </si>
  <si>
    <t>Llave foránea a CATEGORIAS. Clasificación del plato.</t>
  </si>
  <si>
    <t>Nombre del plato (Ej. Hamburguesa Doble).</t>
  </si>
  <si>
    <t>Ingredientes o detalles relevantes para el cliente.</t>
  </si>
  <si>
    <t>precio</t>
  </si>
  <si>
    <t>DECIMAL(10,2)</t>
  </si>
  <si>
    <t>Precio de venta al público.</t>
  </si>
  <si>
    <t>stock</t>
  </si>
  <si>
    <t>Cantidad disponible (útil para productos embotellados). Por defecto 0 si es preparado.</t>
  </si>
  <si>
    <t>disponible</t>
  </si>
  <si>
    <t>Si el plato se puede preparar (1=Sí, 0=Agotado).</t>
  </si>
  <si>
    <t>PEDIDOS</t>
  </si>
  <si>
    <t>Identificador único del pedido.</t>
  </si>
  <si>
    <t>Llave foránea a MESAS. Dónde está sentado el cliente.</t>
  </si>
  <si>
    <t>mesero_id</t>
  </si>
  <si>
    <t>Llave foránea a USUARIOS. Empleado que tomó el pedido.</t>
  </si>
  <si>
    <t>Llave foránea a CLIENTES. Opcional si es cliente de paso o general.</t>
  </si>
  <si>
    <t>Fecha y hora exacta en que se abrió la cuenta/pedido.</t>
  </si>
  <si>
    <t>VARCHAR(30)</t>
  </si>
  <si>
    <t>PENDIENTE, EN_PREPARACION, LISTO, ENTREGADO, FACTURADO.</t>
  </si>
  <si>
    <t>total</t>
  </si>
  <si>
    <t>Suma total actual del pedido. Se recalcula al agregar items.</t>
  </si>
  <si>
    <t>DETALLES_PEDIDO</t>
  </si>
  <si>
    <t>Identificador único de la línea de detalle.</t>
  </si>
  <si>
    <t>pedido_id</t>
  </si>
  <si>
    <t>Llave foránea a PEDIDOS.</t>
  </si>
  <si>
    <t>producto_id</t>
  </si>
  <si>
    <t>Llave foránea a PRODUCTOS. Qué plato se ordenó.</t>
  </si>
  <si>
    <t>cantidad</t>
  </si>
  <si>
    <t>Unidades solicitadas de este plato.</t>
  </si>
  <si>
    <t>precio_unitario</t>
  </si>
  <si>
    <t>Precio histórico al momento de ordenar (por si luego cambia en el menú).</t>
  </si>
  <si>
    <t>subtotal</t>
  </si>
  <si>
    <t>Calculado: cantidad * precio_unitario.</t>
  </si>
  <si>
    <t>notas_preparacion</t>
  </si>
  <si>
    <t>Indicaciones para cocina (Ej. Sin cebolla, carne término medio).</t>
  </si>
  <si>
    <t>FACTURAS</t>
  </si>
  <si>
    <t>Identificador único de la factura.</t>
  </si>
  <si>
    <t>Llave foránea a PEDIDOS. Orden que se está cobrando.</t>
  </si>
  <si>
    <t>Llave foránea a CLIENTES. A nombre de quién se factura.</t>
  </si>
  <si>
    <t>cajero_id</t>
  </si>
  <si>
    <t>Llave foránea a USUARIOS. Quién cobró y emitió el documento.</t>
  </si>
  <si>
    <t>numero_factura</t>
  </si>
  <si>
    <t>Consecutivo legal (Ej. F-10023). Debe ser único.</t>
  </si>
  <si>
    <t>fecha_emision</t>
  </si>
  <si>
    <t>Fecha y hora exacta de emisión de la factura.</t>
  </si>
  <si>
    <t>Valor total de los productos sin impuestos aplicados.</t>
  </si>
  <si>
    <t>impuestos</t>
  </si>
  <si>
    <t>Monto total de impuestos (IVA, Impoconsumo).</t>
  </si>
  <si>
    <t>descuentos</t>
  </si>
  <si>
    <t>Monto descontado (promociones, cupones).</t>
  </si>
  <si>
    <t>total_final</t>
  </si>
  <si>
    <t>Monto final a pagar (Subtotal + Impuestos - Descuentos).</t>
  </si>
  <si>
    <t>METODOS_PAGO</t>
  </si>
  <si>
    <t>Identificador único del método de pago.</t>
  </si>
  <si>
    <t>Nombre (Efectivo, Tarjeta Crédito, Tarjeta Débito, Nequi, etc.).</t>
  </si>
  <si>
    <t>Indica si el restaurante actualmente acepta este método (1=Sí).</t>
  </si>
  <si>
    <t>PAGOS</t>
  </si>
  <si>
    <t>Identificador único del pago individual.</t>
  </si>
  <si>
    <t>factura_id</t>
  </si>
  <si>
    <t>Llave foránea a FACTURAS. A qué factura pertenece este pago.</t>
  </si>
  <si>
    <t>metodo_pago_id</t>
  </si>
  <si>
    <t>Llave foránea a METODOS_PAGO. Con qué se pagó esta fracción.</t>
  </si>
  <si>
    <t>monto</t>
  </si>
  <si>
    <t>Valor monetario ingresado por este método de pago.</t>
  </si>
  <si>
    <t>fecha_pago</t>
  </si>
  <si>
    <t>Fecha y hora exacta de la transacción.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</si>
</sst>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0" xfId="0" applyFont="1" applyFill="1"/>
    <xf numFmtId="0" fontId="1" fillId="0" borderId="0" xfId="0" applyFont="1"/>
    <xf numFmtId="0" fontId="2" fillId="3" borderId="0" xfId="0" applyFont="1" applyFill="1"/>
    <xf numFmtId="0" fontId="0" fillId="4" borderId="0" xfId="0" applyFill="1"/>
    <xf numFmtId="0" fontId="1" fillId="4" borderId="0" xfId="0" applyFont="1" applyFill="1"/>
    <xf numFmtId="0" fontId="2" fillId="2" borderId="1" xfId="0" applyFont="1" applyFill="1" applyBorder="1"/>
    <xf numFmtId="0" fontId="0" fillId="0" borderId="5" xfId="0" applyBorder="1"/>
    <xf numFmtId="0" fontId="3" fillId="2" borderId="1" xfId="0" applyFont="1" applyFill="1" applyBorder="1"/>
    <xf numFmtId="0" fontId="0" fillId="0" borderId="1" xfId="0" applyBorder="1" applyAlignment="1">
      <alignment wrapText="1"/>
    </xf>
    <xf numFmtId="0" fontId="4" fillId="5" borderId="6" xfId="0" applyFont="1" applyFill="1" applyBorder="1" applyAlignment="1">
      <alignment vertical="center"/>
    </xf>
    <xf numFmtId="0" fontId="0" fillId="0" borderId="6" xfId="0" applyBorder="1"/>
    <xf numFmtId="0" fontId="0" fillId="6" borderId="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16</xdr:col>
      <xdr:colOff>495300</xdr:colOff>
      <xdr:row>26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404F0F-9100-95F7-DE6E-75173B87D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5825" y="0"/>
          <a:ext cx="7810500" cy="5124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37</xdr:col>
      <xdr:colOff>514350</xdr:colOff>
      <xdr:row>64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4A04D3-8F14-0599-D574-FCC9FDE65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2459950" cy="1203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76200</xdr:colOff>
      <xdr:row>75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81F4A-8867-757E-0425-2389BB710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58600" cy="14449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133350</xdr:colOff>
      <xdr:row>81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392B00-E046-D177-8F99-8ED843313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86950" cy="1560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52BD-D4C3-4D52-97F2-73B82753FB0A}">
  <dimension ref="A1:K21"/>
  <sheetViews>
    <sheetView workbookViewId="0">
      <selection activeCell="E13" sqref="E13"/>
    </sheetView>
  </sheetViews>
  <sheetFormatPr baseColWidth="10" defaultColWidth="9.140625" defaultRowHeight="15" x14ac:dyDescent="0.25"/>
  <cols>
    <col min="1" max="4" width="40.710937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6"/>
      <c r="F1" s="6"/>
      <c r="G1" t="s">
        <v>4</v>
      </c>
      <c r="H1">
        <f>COUNTIF(B1:B21,B3)</f>
        <v>4</v>
      </c>
      <c r="K1">
        <f>8.43*4</f>
        <v>33.72</v>
      </c>
    </row>
    <row r="2" spans="1:11" x14ac:dyDescent="0.25">
      <c r="A2" s="7" t="s">
        <v>5</v>
      </c>
      <c r="B2" s="7"/>
      <c r="C2" s="7"/>
      <c r="D2" s="7"/>
      <c r="E2" s="6"/>
      <c r="F2" s="6"/>
      <c r="G2" t="s">
        <v>6</v>
      </c>
      <c r="H2">
        <f>COUNTIF(B2:B22,B4)</f>
        <v>4</v>
      </c>
    </row>
    <row r="3" spans="1:11" x14ac:dyDescent="0.25">
      <c r="A3" s="8" t="s">
        <v>7</v>
      </c>
      <c r="B3" s="8" t="s">
        <v>6</v>
      </c>
      <c r="C3" s="8" t="s">
        <v>8</v>
      </c>
      <c r="D3" s="8" t="s">
        <v>9</v>
      </c>
      <c r="E3" s="9" t="s">
        <v>10</v>
      </c>
    </row>
    <row r="4" spans="1:11" x14ac:dyDescent="0.25">
      <c r="A4" s="8" t="s">
        <v>11</v>
      </c>
      <c r="B4" s="8" t="s">
        <v>6</v>
      </c>
      <c r="C4" s="8" t="s">
        <v>12</v>
      </c>
      <c r="D4" s="8" t="s">
        <v>13</v>
      </c>
      <c r="E4" s="9" t="s">
        <v>10</v>
      </c>
    </row>
    <row r="5" spans="1:11" x14ac:dyDescent="0.25">
      <c r="A5" s="8" t="s">
        <v>14</v>
      </c>
      <c r="B5" s="8" t="s">
        <v>6</v>
      </c>
      <c r="C5" s="8" t="s">
        <v>12</v>
      </c>
      <c r="D5" s="8" t="s">
        <v>15</v>
      </c>
      <c r="E5" s="9" t="s">
        <v>10</v>
      </c>
    </row>
    <row r="6" spans="1:11" x14ac:dyDescent="0.25">
      <c r="A6" s="8" t="s">
        <v>16</v>
      </c>
      <c r="B6" s="8" t="s">
        <v>6</v>
      </c>
      <c r="C6" s="8" t="s">
        <v>17</v>
      </c>
      <c r="D6" s="8" t="s">
        <v>18</v>
      </c>
      <c r="E6" s="9" t="s">
        <v>10</v>
      </c>
    </row>
    <row r="7" spans="1:11" x14ac:dyDescent="0.25">
      <c r="A7" s="8" t="s">
        <v>19</v>
      </c>
      <c r="B7" s="8" t="s">
        <v>4</v>
      </c>
      <c r="C7" s="8" t="s">
        <v>18</v>
      </c>
      <c r="D7" s="8" t="s">
        <v>20</v>
      </c>
      <c r="E7" s="9" t="s">
        <v>10</v>
      </c>
    </row>
    <row r="8" spans="1:11" x14ac:dyDescent="0.25">
      <c r="A8" s="8" t="s">
        <v>21</v>
      </c>
      <c r="B8" s="8" t="s">
        <v>4</v>
      </c>
      <c r="C8" s="8" t="s">
        <v>22</v>
      </c>
      <c r="D8" s="8" t="s">
        <v>20</v>
      </c>
      <c r="E8" s="9" t="s">
        <v>10</v>
      </c>
    </row>
    <row r="9" spans="1:11" x14ac:dyDescent="0.25">
      <c r="A9" s="8" t="s">
        <v>23</v>
      </c>
      <c r="B9" s="8" t="s">
        <v>4</v>
      </c>
      <c r="C9" s="8" t="s">
        <v>24</v>
      </c>
      <c r="D9" s="8" t="s">
        <v>25</v>
      </c>
      <c r="E9" s="9" t="s">
        <v>10</v>
      </c>
    </row>
    <row r="10" spans="1:11" x14ac:dyDescent="0.25">
      <c r="A10" s="8" t="s">
        <v>26</v>
      </c>
      <c r="B10" s="8" t="s">
        <v>4</v>
      </c>
      <c r="C10" s="8" t="s">
        <v>24</v>
      </c>
      <c r="D10" s="8" t="s">
        <v>25</v>
      </c>
      <c r="E10" s="9" t="s">
        <v>10</v>
      </c>
    </row>
    <row r="11" spans="1:11" x14ac:dyDescent="0.25">
      <c r="A11" s="8" t="s">
        <v>27</v>
      </c>
      <c r="B11" s="8" t="s">
        <v>28</v>
      </c>
      <c r="C11" s="8" t="s">
        <v>29</v>
      </c>
      <c r="D11" s="8" t="s">
        <v>29</v>
      </c>
      <c r="E11" s="9" t="s">
        <v>10</v>
      </c>
    </row>
    <row r="12" spans="1:11" x14ac:dyDescent="0.25">
      <c r="A12" s="8" t="s">
        <v>30</v>
      </c>
      <c r="B12" s="8" t="s">
        <v>28</v>
      </c>
      <c r="C12" s="8" t="s">
        <v>29</v>
      </c>
      <c r="D12" s="8" t="s">
        <v>31</v>
      </c>
      <c r="E12" s="9" t="s">
        <v>10</v>
      </c>
    </row>
    <row r="13" spans="1:11" x14ac:dyDescent="0.25">
      <c r="A13" t="s">
        <v>32</v>
      </c>
      <c r="B13" t="s">
        <v>33</v>
      </c>
      <c r="C13" t="s">
        <v>34</v>
      </c>
      <c r="D13" t="s">
        <v>34</v>
      </c>
      <c r="E13" s="6"/>
      <c r="F13" s="6"/>
    </row>
    <row r="14" spans="1:11" x14ac:dyDescent="0.25">
      <c r="A14" s="7"/>
      <c r="B14" s="7"/>
      <c r="C14" s="7"/>
      <c r="D14" s="7"/>
      <c r="E14" s="6"/>
      <c r="F14" s="6"/>
    </row>
    <row r="15" spans="1:11" x14ac:dyDescent="0.25">
      <c r="A15" s="7" t="s">
        <v>35</v>
      </c>
      <c r="B15" s="7"/>
      <c r="C15" s="7"/>
      <c r="D15" s="7"/>
      <c r="E15" s="6"/>
      <c r="F15" s="6"/>
    </row>
    <row r="16" spans="1:11" x14ac:dyDescent="0.25">
      <c r="A16" t="s">
        <v>36</v>
      </c>
      <c r="B16" t="s">
        <v>33</v>
      </c>
      <c r="C16" t="s">
        <v>37</v>
      </c>
      <c r="D16" t="s">
        <v>38</v>
      </c>
      <c r="E16" s="6"/>
      <c r="F16" s="6"/>
    </row>
    <row r="17" spans="1:6" x14ac:dyDescent="0.25">
      <c r="A17" t="s">
        <v>39</v>
      </c>
      <c r="B17" t="s">
        <v>33</v>
      </c>
      <c r="C17" t="s">
        <v>40</v>
      </c>
      <c r="D17" t="s">
        <v>41</v>
      </c>
      <c r="E17" s="6"/>
      <c r="F17" s="6"/>
    </row>
    <row r="18" spans="1:6" x14ac:dyDescent="0.25">
      <c r="A18" t="s">
        <v>42</v>
      </c>
      <c r="B18" t="s">
        <v>33</v>
      </c>
      <c r="C18" t="s">
        <v>43</v>
      </c>
      <c r="D18" t="s">
        <v>44</v>
      </c>
      <c r="E18" s="6"/>
      <c r="F18" s="6"/>
    </row>
    <row r="19" spans="1:6" x14ac:dyDescent="0.25">
      <c r="A19" t="s">
        <v>45</v>
      </c>
      <c r="B19" t="s">
        <v>33</v>
      </c>
      <c r="C19" t="s">
        <v>46</v>
      </c>
      <c r="D19" t="s">
        <v>47</v>
      </c>
      <c r="E19" s="6"/>
      <c r="F19" s="6"/>
    </row>
    <row r="20" spans="1:6" x14ac:dyDescent="0.25">
      <c r="A20" t="s">
        <v>48</v>
      </c>
      <c r="B20" t="s">
        <v>33</v>
      </c>
      <c r="C20" t="s">
        <v>49</v>
      </c>
      <c r="D20" t="s">
        <v>50</v>
      </c>
      <c r="E20" s="6"/>
      <c r="F20" s="6"/>
    </row>
    <row r="21" spans="1:6" x14ac:dyDescent="0.25">
      <c r="A21" t="s">
        <v>51</v>
      </c>
      <c r="B21" t="s">
        <v>33</v>
      </c>
      <c r="C21" t="s">
        <v>52</v>
      </c>
      <c r="D21" t="s">
        <v>52</v>
      </c>
      <c r="E21" s="6"/>
      <c r="F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C033-E92B-4BE5-9848-2C1DBDFA24F1}">
  <dimension ref="A1:A10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29.140625" customWidth="1"/>
  </cols>
  <sheetData>
    <row r="1" spans="1:1" ht="21" x14ac:dyDescent="0.35">
      <c r="A1" s="12" t="s">
        <v>53</v>
      </c>
    </row>
    <row r="2" spans="1:1" ht="90" x14ac:dyDescent="0.25">
      <c r="A2" s="13" t="s">
        <v>54</v>
      </c>
    </row>
    <row r="3" spans="1:1" ht="21" x14ac:dyDescent="0.35">
      <c r="A3" s="12" t="s">
        <v>55</v>
      </c>
    </row>
    <row r="4" spans="1:1" ht="120" x14ac:dyDescent="0.25">
      <c r="A4" s="13" t="s">
        <v>56</v>
      </c>
    </row>
    <row r="5" spans="1:1" ht="21" x14ac:dyDescent="0.35">
      <c r="A5" s="12" t="s">
        <v>57</v>
      </c>
    </row>
    <row r="6" spans="1:1" ht="30" x14ac:dyDescent="0.25">
      <c r="A6" s="13" t="s">
        <v>58</v>
      </c>
    </row>
    <row r="7" spans="1:1" ht="21" x14ac:dyDescent="0.35">
      <c r="A7" s="12" t="s">
        <v>59</v>
      </c>
    </row>
    <row r="8" spans="1:1" ht="105" x14ac:dyDescent="0.25">
      <c r="A8" s="13" t="s">
        <v>60</v>
      </c>
    </row>
    <row r="9" spans="1:1" ht="21" x14ac:dyDescent="0.35">
      <c r="A9" s="12" t="s">
        <v>61</v>
      </c>
    </row>
    <row r="10" spans="1:1" ht="285" x14ac:dyDescent="0.25">
      <c r="A10" s="1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baseColWidth="10" defaultColWidth="9.140625" defaultRowHeight="15" x14ac:dyDescent="0.25"/>
  <cols>
    <col min="2" max="2" width="19" bestFit="1" customWidth="1"/>
    <col min="3" max="3" width="108" bestFit="1" customWidth="1"/>
  </cols>
  <sheetData>
    <row r="1" spans="1:3" x14ac:dyDescent="0.25">
      <c r="A1" s="10" t="s">
        <v>63</v>
      </c>
      <c r="B1" s="10" t="s">
        <v>64</v>
      </c>
      <c r="C1" s="10" t="s">
        <v>65</v>
      </c>
    </row>
    <row r="2" spans="1:3" x14ac:dyDescent="0.25">
      <c r="A2" s="11" t="s">
        <v>66</v>
      </c>
      <c r="B2" s="11" t="s">
        <v>67</v>
      </c>
      <c r="C2" s="11" t="s">
        <v>68</v>
      </c>
    </row>
    <row r="3" spans="1:3" x14ac:dyDescent="0.25">
      <c r="A3" s="1" t="s">
        <v>69</v>
      </c>
      <c r="B3" s="1" t="s">
        <v>67</v>
      </c>
      <c r="C3" s="1" t="s">
        <v>70</v>
      </c>
    </row>
    <row r="4" spans="1:3" x14ac:dyDescent="0.25">
      <c r="A4" s="1" t="s">
        <v>71</v>
      </c>
      <c r="B4" s="1" t="s">
        <v>67</v>
      </c>
      <c r="C4" s="1" t="s">
        <v>72</v>
      </c>
    </row>
    <row r="5" spans="1:3" x14ac:dyDescent="0.25">
      <c r="A5" s="1" t="s">
        <v>73</v>
      </c>
      <c r="B5" s="1" t="s">
        <v>74</v>
      </c>
      <c r="C5" s="1" t="s">
        <v>75</v>
      </c>
    </row>
    <row r="6" spans="1:3" x14ac:dyDescent="0.25">
      <c r="A6" s="1" t="s">
        <v>76</v>
      </c>
      <c r="B6" s="1" t="s">
        <v>74</v>
      </c>
      <c r="C6" s="1" t="s">
        <v>77</v>
      </c>
    </row>
    <row r="7" spans="1:3" x14ac:dyDescent="0.25">
      <c r="A7" s="1" t="s">
        <v>78</v>
      </c>
      <c r="B7" s="1" t="s">
        <v>79</v>
      </c>
      <c r="C7" s="1" t="s">
        <v>80</v>
      </c>
    </row>
    <row r="8" spans="1:3" x14ac:dyDescent="0.25">
      <c r="A8" s="1" t="s">
        <v>81</v>
      </c>
      <c r="B8" s="1" t="s">
        <v>79</v>
      </c>
      <c r="C8" s="1" t="s">
        <v>82</v>
      </c>
    </row>
    <row r="9" spans="1:3" x14ac:dyDescent="0.25">
      <c r="A9" s="1" t="s">
        <v>83</v>
      </c>
      <c r="B9" s="1" t="s">
        <v>79</v>
      </c>
      <c r="C9" s="1" t="s">
        <v>84</v>
      </c>
    </row>
    <row r="10" spans="1:3" x14ac:dyDescent="0.25">
      <c r="A10" s="1" t="s">
        <v>85</v>
      </c>
      <c r="B10" s="1" t="s">
        <v>86</v>
      </c>
      <c r="C10" s="1" t="s">
        <v>87</v>
      </c>
    </row>
    <row r="11" spans="1:3" x14ac:dyDescent="0.25">
      <c r="A11" s="1" t="s">
        <v>88</v>
      </c>
      <c r="B11" s="1" t="s">
        <v>89</v>
      </c>
      <c r="C11" s="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0E17-F6D9-40BF-ADF5-99B056D60119}">
  <dimension ref="A1:C14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6.42578125" bestFit="1" customWidth="1"/>
    <col min="2" max="2" width="26.42578125" bestFit="1" customWidth="1"/>
    <col min="3" max="3" width="28.42578125" bestFit="1" customWidth="1"/>
  </cols>
  <sheetData>
    <row r="1" spans="1:3" x14ac:dyDescent="0.25">
      <c r="A1" s="10" t="s">
        <v>63</v>
      </c>
      <c r="B1" s="10" t="s">
        <v>91</v>
      </c>
      <c r="C1" s="10" t="s">
        <v>92</v>
      </c>
    </row>
    <row r="2" spans="1:3" x14ac:dyDescent="0.25">
      <c r="A2" s="1" t="s">
        <v>93</v>
      </c>
      <c r="B2" s="1" t="s">
        <v>94</v>
      </c>
      <c r="C2" s="1" t="s">
        <v>95</v>
      </c>
    </row>
    <row r="3" spans="1:3" x14ac:dyDescent="0.25">
      <c r="A3" s="1" t="s">
        <v>96</v>
      </c>
      <c r="B3" s="1" t="s">
        <v>97</v>
      </c>
      <c r="C3" s="1" t="s">
        <v>95</v>
      </c>
    </row>
    <row r="4" spans="1:3" x14ac:dyDescent="0.25">
      <c r="A4" s="1" t="s">
        <v>98</v>
      </c>
      <c r="B4" s="1" t="s">
        <v>99</v>
      </c>
      <c r="C4" s="1" t="s">
        <v>100</v>
      </c>
    </row>
    <row r="5" spans="1:3" x14ac:dyDescent="0.25">
      <c r="A5" s="1" t="s">
        <v>101</v>
      </c>
      <c r="B5" s="1" t="s">
        <v>102</v>
      </c>
      <c r="C5" s="1" t="s">
        <v>95</v>
      </c>
    </row>
    <row r="6" spans="1:3" x14ac:dyDescent="0.25">
      <c r="A6" s="1" t="s">
        <v>103</v>
      </c>
      <c r="B6" s="1" t="s">
        <v>104</v>
      </c>
      <c r="C6" s="1" t="s">
        <v>95</v>
      </c>
    </row>
    <row r="7" spans="1:3" x14ac:dyDescent="0.25">
      <c r="A7" s="1" t="s">
        <v>105</v>
      </c>
      <c r="B7" s="1" t="s">
        <v>106</v>
      </c>
      <c r="C7" s="1" t="s">
        <v>107</v>
      </c>
    </row>
    <row r="8" spans="1:3" x14ac:dyDescent="0.25">
      <c r="A8" s="1" t="s">
        <v>108</v>
      </c>
      <c r="B8" s="1" t="s">
        <v>109</v>
      </c>
      <c r="C8" s="1" t="s">
        <v>107</v>
      </c>
    </row>
    <row r="9" spans="1:3" x14ac:dyDescent="0.25">
      <c r="A9" s="1" t="s">
        <v>110</v>
      </c>
      <c r="B9" s="1" t="s">
        <v>111</v>
      </c>
      <c r="C9" s="1" t="s">
        <v>107</v>
      </c>
    </row>
    <row r="10" spans="1:3" x14ac:dyDescent="0.25">
      <c r="A10" s="1" t="s">
        <v>112</v>
      </c>
      <c r="B10" s="1" t="s">
        <v>113</v>
      </c>
      <c r="C10" s="1" t="s">
        <v>107</v>
      </c>
    </row>
    <row r="11" spans="1:3" x14ac:dyDescent="0.25">
      <c r="A11" s="1" t="s">
        <v>114</v>
      </c>
      <c r="B11" s="1" t="s">
        <v>115</v>
      </c>
      <c r="C11" s="1" t="s">
        <v>107</v>
      </c>
    </row>
    <row r="12" spans="1:3" x14ac:dyDescent="0.25">
      <c r="A12" s="1" t="s">
        <v>116</v>
      </c>
      <c r="B12" t="s">
        <v>117</v>
      </c>
      <c r="C12" s="1" t="s">
        <v>107</v>
      </c>
    </row>
    <row r="13" spans="1:3" x14ac:dyDescent="0.25">
      <c r="A13" s="1" t="s">
        <v>118</v>
      </c>
      <c r="B13" s="4" t="s">
        <v>119</v>
      </c>
      <c r="C13" s="1" t="s">
        <v>120</v>
      </c>
    </row>
    <row r="14" spans="1:3" x14ac:dyDescent="0.25">
      <c r="A14" s="2" t="s">
        <v>121</v>
      </c>
      <c r="B14" s="1" t="s">
        <v>122</v>
      </c>
      <c r="C14" s="3" t="s">
        <v>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E73D-3A8A-4AC0-9C80-3B3E1179B605}">
  <dimension ref="A1:E12"/>
  <sheetViews>
    <sheetView workbookViewId="0">
      <selection activeCell="E22" sqref="E22"/>
    </sheetView>
  </sheetViews>
  <sheetFormatPr baseColWidth="10" defaultColWidth="9.140625" defaultRowHeight="15" x14ac:dyDescent="0.25"/>
  <cols>
    <col min="2" max="2" width="67.42578125" bestFit="1" customWidth="1"/>
    <col min="5" max="5" width="92.28515625" bestFit="1" customWidth="1"/>
  </cols>
  <sheetData>
    <row r="1" spans="1:5" x14ac:dyDescent="0.25">
      <c r="A1" s="10" t="s">
        <v>63</v>
      </c>
      <c r="B1" s="10" t="s">
        <v>123</v>
      </c>
      <c r="D1" s="10" t="s">
        <v>63</v>
      </c>
      <c r="E1" s="10" t="s">
        <v>124</v>
      </c>
    </row>
    <row r="2" spans="1:5" x14ac:dyDescent="0.25">
      <c r="A2" s="1" t="s">
        <v>125</v>
      </c>
      <c r="B2" s="4" t="s">
        <v>126</v>
      </c>
      <c r="D2" s="1" t="s">
        <v>127</v>
      </c>
      <c r="E2" s="4" t="s">
        <v>128</v>
      </c>
    </row>
    <row r="3" spans="1:5" x14ac:dyDescent="0.25">
      <c r="A3" s="2" t="s">
        <v>129</v>
      </c>
      <c r="B3" s="1" t="s">
        <v>130</v>
      </c>
      <c r="D3" s="1" t="s">
        <v>131</v>
      </c>
      <c r="E3" s="1" t="s">
        <v>132</v>
      </c>
    </row>
    <row r="4" spans="1:5" x14ac:dyDescent="0.25">
      <c r="A4" s="2" t="s">
        <v>133</v>
      </c>
      <c r="B4" s="1" t="s">
        <v>134</v>
      </c>
      <c r="D4" s="1" t="s">
        <v>135</v>
      </c>
      <c r="E4" s="1" t="s">
        <v>136</v>
      </c>
    </row>
    <row r="5" spans="1:5" x14ac:dyDescent="0.25">
      <c r="A5" s="2" t="s">
        <v>137</v>
      </c>
      <c r="B5" s="1" t="s">
        <v>138</v>
      </c>
      <c r="D5" s="1" t="s">
        <v>139</v>
      </c>
      <c r="E5" s="1" t="s">
        <v>140</v>
      </c>
    </row>
    <row r="6" spans="1:5" x14ac:dyDescent="0.25">
      <c r="A6" s="2" t="s">
        <v>141</v>
      </c>
      <c r="B6" s="1" t="s">
        <v>142</v>
      </c>
      <c r="D6" s="1" t="s">
        <v>143</v>
      </c>
      <c r="E6" s="1" t="s">
        <v>144</v>
      </c>
    </row>
    <row r="7" spans="1:5" x14ac:dyDescent="0.25">
      <c r="A7" s="2" t="s">
        <v>145</v>
      </c>
      <c r="B7" s="1" t="s">
        <v>146</v>
      </c>
      <c r="D7" s="1" t="s">
        <v>147</v>
      </c>
      <c r="E7" s="1" t="s">
        <v>148</v>
      </c>
    </row>
    <row r="8" spans="1:5" x14ac:dyDescent="0.25">
      <c r="A8" s="2" t="s">
        <v>149</v>
      </c>
      <c r="B8" s="1" t="s">
        <v>150</v>
      </c>
      <c r="D8" s="1" t="s">
        <v>151</v>
      </c>
      <c r="E8" s="1" t="s">
        <v>152</v>
      </c>
    </row>
    <row r="9" spans="1:5" x14ac:dyDescent="0.25">
      <c r="A9" s="2" t="s">
        <v>153</v>
      </c>
      <c r="B9" s="1" t="s">
        <v>154</v>
      </c>
    </row>
    <row r="10" spans="1:5" x14ac:dyDescent="0.25">
      <c r="A10" s="2" t="s">
        <v>155</v>
      </c>
      <c r="B10" s="1" t="s">
        <v>156</v>
      </c>
    </row>
    <row r="11" spans="1:5" x14ac:dyDescent="0.25">
      <c r="A11" s="2" t="s">
        <v>157</v>
      </c>
      <c r="B11" s="1" t="s">
        <v>158</v>
      </c>
    </row>
    <row r="12" spans="1:5" x14ac:dyDescent="0.25">
      <c r="A12" s="2" t="s">
        <v>159</v>
      </c>
      <c r="B12" s="1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2219-973C-4B76-973C-EBB00D2A019E}">
  <dimension ref="A1"/>
  <sheetViews>
    <sheetView workbookViewId="0">
      <selection activeCell="R34" sqref="R34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6DD7-1E1D-4E98-9C07-0E9FDF3D8A7F}">
  <dimension ref="A1"/>
  <sheetViews>
    <sheetView zoomScale="55" zoomScaleNormal="55" workbookViewId="0">
      <selection activeCell="Y48" sqref="Y48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5940-5F3C-4514-AE4F-FAB8AD2805BA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18C2-2990-446F-9FC6-6901F350EE06}">
  <dimension ref="A1:F72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17.7109375" bestFit="1" customWidth="1"/>
    <col min="2" max="2" width="19.42578125" bestFit="1" customWidth="1"/>
    <col min="3" max="3" width="14.42578125" bestFit="1" customWidth="1"/>
    <col min="4" max="4" width="7.5703125" bestFit="1" customWidth="1"/>
    <col min="5" max="5" width="5.42578125" bestFit="1" customWidth="1"/>
    <col min="6" max="6" width="78.140625" bestFit="1" customWidth="1"/>
  </cols>
  <sheetData>
    <row r="1" spans="1:6" x14ac:dyDescent="0.25">
      <c r="A1" s="14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</row>
    <row r="2" spans="1:6" x14ac:dyDescent="0.25">
      <c r="A2" s="15" t="s">
        <v>167</v>
      </c>
      <c r="B2" s="15" t="s">
        <v>168</v>
      </c>
      <c r="C2" s="15" t="s">
        <v>169</v>
      </c>
      <c r="D2" s="15" t="s">
        <v>170</v>
      </c>
      <c r="E2" s="15" t="s">
        <v>171</v>
      </c>
      <c r="F2" s="15" t="s">
        <v>172</v>
      </c>
    </row>
    <row r="3" spans="1:6" x14ac:dyDescent="0.25">
      <c r="A3" s="16" t="s">
        <v>167</v>
      </c>
      <c r="B3" s="16" t="s">
        <v>173</v>
      </c>
      <c r="C3" s="16" t="s">
        <v>174</v>
      </c>
      <c r="D3" s="16" t="s">
        <v>175</v>
      </c>
      <c r="E3" s="16" t="s">
        <v>171</v>
      </c>
      <c r="F3" s="16" t="s">
        <v>176</v>
      </c>
    </row>
    <row r="4" spans="1:6" x14ac:dyDescent="0.25">
      <c r="A4" s="15" t="s">
        <v>167</v>
      </c>
      <c r="B4" s="15" t="s">
        <v>177</v>
      </c>
      <c r="C4" s="15" t="s">
        <v>178</v>
      </c>
      <c r="D4" s="15" t="s">
        <v>175</v>
      </c>
      <c r="E4" s="15" t="s">
        <v>179</v>
      </c>
      <c r="F4" s="15" t="s">
        <v>180</v>
      </c>
    </row>
    <row r="5" spans="1:6" x14ac:dyDescent="0.25">
      <c r="A5" s="16" t="s">
        <v>181</v>
      </c>
      <c r="B5" s="16" t="s">
        <v>168</v>
      </c>
      <c r="C5" s="16" t="s">
        <v>169</v>
      </c>
      <c r="D5" s="16" t="s">
        <v>170</v>
      </c>
      <c r="E5" s="16" t="s">
        <v>171</v>
      </c>
      <c r="F5" s="16" t="s">
        <v>182</v>
      </c>
    </row>
    <row r="6" spans="1:6" x14ac:dyDescent="0.25">
      <c r="A6" s="15" t="s">
        <v>181</v>
      </c>
      <c r="B6" s="15" t="s">
        <v>183</v>
      </c>
      <c r="C6" s="15" t="s">
        <v>169</v>
      </c>
      <c r="D6" s="15" t="s">
        <v>184</v>
      </c>
      <c r="E6" s="15" t="s">
        <v>171</v>
      </c>
      <c r="F6" s="15" t="s">
        <v>185</v>
      </c>
    </row>
    <row r="7" spans="1:6" x14ac:dyDescent="0.25">
      <c r="A7" s="16" t="s">
        <v>181</v>
      </c>
      <c r="B7" s="16" t="s">
        <v>173</v>
      </c>
      <c r="C7" s="16" t="s">
        <v>186</v>
      </c>
      <c r="D7" s="16" t="s">
        <v>175</v>
      </c>
      <c r="E7" s="16" t="s">
        <v>171</v>
      </c>
      <c r="F7" s="16" t="s">
        <v>187</v>
      </c>
    </row>
    <row r="8" spans="1:6" x14ac:dyDescent="0.25">
      <c r="A8" s="15" t="s">
        <v>181</v>
      </c>
      <c r="B8" s="15" t="s">
        <v>188</v>
      </c>
      <c r="C8" s="15" t="s">
        <v>186</v>
      </c>
      <c r="D8" s="15" t="s">
        <v>175</v>
      </c>
      <c r="E8" s="15" t="s">
        <v>171</v>
      </c>
      <c r="F8" s="15" t="s">
        <v>189</v>
      </c>
    </row>
    <row r="9" spans="1:6" x14ac:dyDescent="0.25">
      <c r="A9" s="16" t="s">
        <v>181</v>
      </c>
      <c r="B9" s="16" t="s">
        <v>190</v>
      </c>
      <c r="C9" s="16" t="s">
        <v>178</v>
      </c>
      <c r="D9" s="16" t="s">
        <v>175</v>
      </c>
      <c r="E9" s="16" t="s">
        <v>171</v>
      </c>
      <c r="F9" s="16" t="s">
        <v>191</v>
      </c>
    </row>
    <row r="10" spans="1:6" x14ac:dyDescent="0.25">
      <c r="A10" s="15" t="s">
        <v>181</v>
      </c>
      <c r="B10" s="15" t="s">
        <v>192</v>
      </c>
      <c r="C10" s="15" t="s">
        <v>193</v>
      </c>
      <c r="D10" s="15" t="s">
        <v>175</v>
      </c>
      <c r="E10" s="15" t="s">
        <v>171</v>
      </c>
      <c r="F10" s="15" t="s">
        <v>194</v>
      </c>
    </row>
    <row r="11" spans="1:6" x14ac:dyDescent="0.25">
      <c r="A11" s="16" t="s">
        <v>181</v>
      </c>
      <c r="B11" s="16" t="s">
        <v>195</v>
      </c>
      <c r="C11" s="16" t="s">
        <v>196</v>
      </c>
      <c r="D11" s="16" t="s">
        <v>175</v>
      </c>
      <c r="E11" s="16" t="s">
        <v>171</v>
      </c>
      <c r="F11" s="16" t="s">
        <v>197</v>
      </c>
    </row>
    <row r="12" spans="1:6" x14ac:dyDescent="0.25">
      <c r="A12" s="15" t="s">
        <v>198</v>
      </c>
      <c r="B12" s="15" t="s">
        <v>168</v>
      </c>
      <c r="C12" s="15" t="s">
        <v>169</v>
      </c>
      <c r="D12" s="15" t="s">
        <v>170</v>
      </c>
      <c r="E12" s="15" t="s">
        <v>171</v>
      </c>
      <c r="F12" s="15" t="s">
        <v>199</v>
      </c>
    </row>
    <row r="13" spans="1:6" x14ac:dyDescent="0.25">
      <c r="A13" s="16" t="s">
        <v>198</v>
      </c>
      <c r="B13" s="16" t="s">
        <v>200</v>
      </c>
      <c r="C13" s="16" t="s">
        <v>201</v>
      </c>
      <c r="D13" s="16" t="s">
        <v>175</v>
      </c>
      <c r="E13" s="16" t="s">
        <v>171</v>
      </c>
      <c r="F13" s="16" t="s">
        <v>202</v>
      </c>
    </row>
    <row r="14" spans="1:6" x14ac:dyDescent="0.25">
      <c r="A14" s="15" t="s">
        <v>198</v>
      </c>
      <c r="B14" s="15" t="s">
        <v>203</v>
      </c>
      <c r="C14" s="15" t="s">
        <v>174</v>
      </c>
      <c r="D14" s="15" t="s">
        <v>175</v>
      </c>
      <c r="E14" s="15" t="s">
        <v>171</v>
      </c>
      <c r="F14" s="15" t="s">
        <v>204</v>
      </c>
    </row>
    <row r="15" spans="1:6" x14ac:dyDescent="0.25">
      <c r="A15" s="16" t="s">
        <v>198</v>
      </c>
      <c r="B15" s="16" t="s">
        <v>205</v>
      </c>
      <c r="C15" s="16" t="s">
        <v>186</v>
      </c>
      <c r="D15" s="16" t="s">
        <v>175</v>
      </c>
      <c r="E15" s="16" t="s">
        <v>171</v>
      </c>
      <c r="F15" s="16" t="s">
        <v>206</v>
      </c>
    </row>
    <row r="16" spans="1:6" x14ac:dyDescent="0.25">
      <c r="A16" s="15" t="s">
        <v>198</v>
      </c>
      <c r="B16" s="15" t="s">
        <v>207</v>
      </c>
      <c r="C16" s="15" t="s">
        <v>201</v>
      </c>
      <c r="D16" s="15" t="s">
        <v>175</v>
      </c>
      <c r="E16" s="15" t="s">
        <v>179</v>
      </c>
      <c r="F16" s="15" t="s">
        <v>208</v>
      </c>
    </row>
    <row r="17" spans="1:6" x14ac:dyDescent="0.25">
      <c r="A17" s="16" t="s">
        <v>198</v>
      </c>
      <c r="B17" s="16" t="s">
        <v>188</v>
      </c>
      <c r="C17" s="16" t="s">
        <v>209</v>
      </c>
      <c r="D17" s="16" t="s">
        <v>175</v>
      </c>
      <c r="E17" s="16" t="s">
        <v>179</v>
      </c>
      <c r="F17" s="16" t="s">
        <v>210</v>
      </c>
    </row>
    <row r="18" spans="1:6" x14ac:dyDescent="0.25">
      <c r="A18" s="15" t="s">
        <v>198</v>
      </c>
      <c r="B18" s="15" t="s">
        <v>211</v>
      </c>
      <c r="C18" s="15" t="s">
        <v>178</v>
      </c>
      <c r="D18" s="15" t="s">
        <v>175</v>
      </c>
      <c r="E18" s="15" t="s">
        <v>179</v>
      </c>
      <c r="F18" s="15" t="s">
        <v>212</v>
      </c>
    </row>
    <row r="19" spans="1:6" x14ac:dyDescent="0.25">
      <c r="A19" s="16" t="s">
        <v>213</v>
      </c>
      <c r="B19" s="16" t="s">
        <v>168</v>
      </c>
      <c r="C19" s="16" t="s">
        <v>169</v>
      </c>
      <c r="D19" s="16" t="s">
        <v>170</v>
      </c>
      <c r="E19" s="16" t="s">
        <v>171</v>
      </c>
      <c r="F19" s="16" t="s">
        <v>214</v>
      </c>
    </row>
    <row r="20" spans="1:6" x14ac:dyDescent="0.25">
      <c r="A20" s="15" t="s">
        <v>213</v>
      </c>
      <c r="B20" s="15" t="s">
        <v>215</v>
      </c>
      <c r="C20" s="15" t="s">
        <v>169</v>
      </c>
      <c r="D20" s="15" t="s">
        <v>175</v>
      </c>
      <c r="E20" s="15" t="s">
        <v>171</v>
      </c>
      <c r="F20" s="15" t="s">
        <v>216</v>
      </c>
    </row>
    <row r="21" spans="1:6" x14ac:dyDescent="0.25">
      <c r="A21" s="16" t="s">
        <v>213</v>
      </c>
      <c r="B21" s="16" t="s">
        <v>217</v>
      </c>
      <c r="C21" s="16" t="s">
        <v>169</v>
      </c>
      <c r="D21" s="16" t="s">
        <v>175</v>
      </c>
      <c r="E21" s="16" t="s">
        <v>171</v>
      </c>
      <c r="F21" s="16" t="s">
        <v>218</v>
      </c>
    </row>
    <row r="22" spans="1:6" x14ac:dyDescent="0.25">
      <c r="A22" s="15" t="s">
        <v>213</v>
      </c>
      <c r="B22" s="15" t="s">
        <v>219</v>
      </c>
      <c r="C22" s="15" t="s">
        <v>201</v>
      </c>
      <c r="D22" s="15" t="s">
        <v>175</v>
      </c>
      <c r="E22" s="15" t="s">
        <v>171</v>
      </c>
      <c r="F22" s="15" t="s">
        <v>220</v>
      </c>
    </row>
    <row r="23" spans="1:6" x14ac:dyDescent="0.25">
      <c r="A23" s="16" t="s">
        <v>221</v>
      </c>
      <c r="B23" s="16" t="s">
        <v>168</v>
      </c>
      <c r="C23" s="16" t="s">
        <v>169</v>
      </c>
      <c r="D23" s="16" t="s">
        <v>170</v>
      </c>
      <c r="E23" s="16" t="s">
        <v>171</v>
      </c>
      <c r="F23" s="16" t="s">
        <v>222</v>
      </c>
    </row>
    <row r="24" spans="1:6" x14ac:dyDescent="0.25">
      <c r="A24" s="15" t="s">
        <v>221</v>
      </c>
      <c r="B24" s="15" t="s">
        <v>223</v>
      </c>
      <c r="C24" s="15" t="s">
        <v>169</v>
      </c>
      <c r="D24" s="15" t="s">
        <v>184</v>
      </c>
      <c r="E24" s="15" t="s">
        <v>171</v>
      </c>
      <c r="F24" s="15" t="s">
        <v>224</v>
      </c>
    </row>
    <row r="25" spans="1:6" x14ac:dyDescent="0.25">
      <c r="A25" s="16" t="s">
        <v>221</v>
      </c>
      <c r="B25" s="16" t="s">
        <v>225</v>
      </c>
      <c r="C25" s="16" t="s">
        <v>169</v>
      </c>
      <c r="D25" s="16" t="s">
        <v>184</v>
      </c>
      <c r="E25" s="16" t="s">
        <v>171</v>
      </c>
      <c r="F25" s="16" t="s">
        <v>226</v>
      </c>
    </row>
    <row r="26" spans="1:6" x14ac:dyDescent="0.25">
      <c r="A26" s="15" t="s">
        <v>221</v>
      </c>
      <c r="B26" s="15" t="s">
        <v>227</v>
      </c>
      <c r="C26" s="15" t="s">
        <v>196</v>
      </c>
      <c r="D26" s="15" t="s">
        <v>175</v>
      </c>
      <c r="E26" s="15" t="s">
        <v>171</v>
      </c>
      <c r="F26" s="15" t="s">
        <v>228</v>
      </c>
    </row>
    <row r="27" spans="1:6" x14ac:dyDescent="0.25">
      <c r="A27" s="16" t="s">
        <v>221</v>
      </c>
      <c r="B27" s="16" t="s">
        <v>229</v>
      </c>
      <c r="C27" s="16" t="s">
        <v>169</v>
      </c>
      <c r="D27" s="16" t="s">
        <v>175</v>
      </c>
      <c r="E27" s="16" t="s">
        <v>171</v>
      </c>
      <c r="F27" s="16" t="s">
        <v>230</v>
      </c>
    </row>
    <row r="28" spans="1:6" x14ac:dyDescent="0.25">
      <c r="A28" s="15" t="s">
        <v>221</v>
      </c>
      <c r="B28" s="15" t="s">
        <v>219</v>
      </c>
      <c r="C28" s="15" t="s">
        <v>201</v>
      </c>
      <c r="D28" s="15" t="s">
        <v>175</v>
      </c>
      <c r="E28" s="15" t="s">
        <v>171</v>
      </c>
      <c r="F28" s="15" t="s">
        <v>231</v>
      </c>
    </row>
    <row r="29" spans="1:6" x14ac:dyDescent="0.25">
      <c r="A29" s="16" t="s">
        <v>221</v>
      </c>
      <c r="B29" s="16" t="s">
        <v>232</v>
      </c>
      <c r="C29" s="16" t="s">
        <v>233</v>
      </c>
      <c r="D29" s="16" t="s">
        <v>175</v>
      </c>
      <c r="E29" s="16" t="s">
        <v>179</v>
      </c>
      <c r="F29" s="16" t="s">
        <v>234</v>
      </c>
    </row>
    <row r="30" spans="1:6" x14ac:dyDescent="0.25">
      <c r="A30" s="15" t="s">
        <v>235</v>
      </c>
      <c r="B30" s="15" t="s">
        <v>168</v>
      </c>
      <c r="C30" s="15" t="s">
        <v>169</v>
      </c>
      <c r="D30" s="15" t="s">
        <v>170</v>
      </c>
      <c r="E30" s="15" t="s">
        <v>171</v>
      </c>
      <c r="F30" s="15" t="s">
        <v>236</v>
      </c>
    </row>
    <row r="31" spans="1:6" x14ac:dyDescent="0.25">
      <c r="A31" s="16" t="s">
        <v>235</v>
      </c>
      <c r="B31" s="16" t="s">
        <v>173</v>
      </c>
      <c r="C31" s="16" t="s">
        <v>209</v>
      </c>
      <c r="D31" s="16" t="s">
        <v>175</v>
      </c>
      <c r="E31" s="16" t="s">
        <v>171</v>
      </c>
      <c r="F31" s="16" t="s">
        <v>237</v>
      </c>
    </row>
    <row r="32" spans="1:6" x14ac:dyDescent="0.25">
      <c r="A32" s="15" t="s">
        <v>235</v>
      </c>
      <c r="B32" s="15" t="s">
        <v>177</v>
      </c>
      <c r="C32" s="15" t="s">
        <v>233</v>
      </c>
      <c r="D32" s="15" t="s">
        <v>175</v>
      </c>
      <c r="E32" s="15" t="s">
        <v>179</v>
      </c>
      <c r="F32" s="15" t="s">
        <v>238</v>
      </c>
    </row>
    <row r="33" spans="1:6" x14ac:dyDescent="0.25">
      <c r="A33" s="16" t="s">
        <v>235</v>
      </c>
      <c r="B33" s="16" t="s">
        <v>239</v>
      </c>
      <c r="C33" s="16" t="s">
        <v>193</v>
      </c>
      <c r="D33" s="16" t="s">
        <v>175</v>
      </c>
      <c r="E33" s="16" t="s">
        <v>171</v>
      </c>
      <c r="F33" s="16" t="s">
        <v>240</v>
      </c>
    </row>
    <row r="34" spans="1:6" x14ac:dyDescent="0.25">
      <c r="A34" s="15" t="s">
        <v>241</v>
      </c>
      <c r="B34" s="15" t="s">
        <v>168</v>
      </c>
      <c r="C34" s="15" t="s">
        <v>169</v>
      </c>
      <c r="D34" s="15" t="s">
        <v>170</v>
      </c>
      <c r="E34" s="15" t="s">
        <v>171</v>
      </c>
      <c r="F34" s="15" t="s">
        <v>242</v>
      </c>
    </row>
    <row r="35" spans="1:6" x14ac:dyDescent="0.25">
      <c r="A35" s="16" t="s">
        <v>241</v>
      </c>
      <c r="B35" s="16" t="s">
        <v>243</v>
      </c>
      <c r="C35" s="16" t="s">
        <v>169</v>
      </c>
      <c r="D35" s="16" t="s">
        <v>184</v>
      </c>
      <c r="E35" s="16" t="s">
        <v>171</v>
      </c>
      <c r="F35" s="16" t="s">
        <v>244</v>
      </c>
    </row>
    <row r="36" spans="1:6" x14ac:dyDescent="0.25">
      <c r="A36" s="15" t="s">
        <v>241</v>
      </c>
      <c r="B36" s="15" t="s">
        <v>173</v>
      </c>
      <c r="C36" s="15" t="s">
        <v>209</v>
      </c>
      <c r="D36" s="15" t="s">
        <v>175</v>
      </c>
      <c r="E36" s="15" t="s">
        <v>171</v>
      </c>
      <c r="F36" s="15" t="s">
        <v>245</v>
      </c>
    </row>
    <row r="37" spans="1:6" x14ac:dyDescent="0.25">
      <c r="A37" s="16" t="s">
        <v>241</v>
      </c>
      <c r="B37" s="16" t="s">
        <v>177</v>
      </c>
      <c r="C37" s="16" t="s">
        <v>233</v>
      </c>
      <c r="D37" s="16" t="s">
        <v>175</v>
      </c>
      <c r="E37" s="16" t="s">
        <v>179</v>
      </c>
      <c r="F37" s="16" t="s">
        <v>246</v>
      </c>
    </row>
    <row r="38" spans="1:6" x14ac:dyDescent="0.25">
      <c r="A38" s="15" t="s">
        <v>241</v>
      </c>
      <c r="B38" s="15" t="s">
        <v>247</v>
      </c>
      <c r="C38" s="15" t="s">
        <v>248</v>
      </c>
      <c r="D38" s="15" t="s">
        <v>175</v>
      </c>
      <c r="E38" s="15" t="s">
        <v>171</v>
      </c>
      <c r="F38" s="15" t="s">
        <v>249</v>
      </c>
    </row>
    <row r="39" spans="1:6" x14ac:dyDescent="0.25">
      <c r="A39" s="16" t="s">
        <v>241</v>
      </c>
      <c r="B39" s="16" t="s">
        <v>250</v>
      </c>
      <c r="C39" s="16" t="s">
        <v>169</v>
      </c>
      <c r="D39" s="16" t="s">
        <v>175</v>
      </c>
      <c r="E39" s="16" t="s">
        <v>171</v>
      </c>
      <c r="F39" s="16" t="s">
        <v>251</v>
      </c>
    </row>
    <row r="40" spans="1:6" x14ac:dyDescent="0.25">
      <c r="A40" s="15" t="s">
        <v>241</v>
      </c>
      <c r="B40" s="15" t="s">
        <v>252</v>
      </c>
      <c r="C40" s="15" t="s">
        <v>193</v>
      </c>
      <c r="D40" s="15" t="s">
        <v>175</v>
      </c>
      <c r="E40" s="15" t="s">
        <v>171</v>
      </c>
      <c r="F40" s="15" t="s">
        <v>253</v>
      </c>
    </row>
    <row r="41" spans="1:6" x14ac:dyDescent="0.25">
      <c r="A41" s="16" t="s">
        <v>254</v>
      </c>
      <c r="B41" s="16" t="s">
        <v>168</v>
      </c>
      <c r="C41" s="16" t="s">
        <v>169</v>
      </c>
      <c r="D41" s="16" t="s">
        <v>170</v>
      </c>
      <c r="E41" s="16" t="s">
        <v>171</v>
      </c>
      <c r="F41" s="16" t="s">
        <v>255</v>
      </c>
    </row>
    <row r="42" spans="1:6" x14ac:dyDescent="0.25">
      <c r="A42" s="15" t="s">
        <v>254</v>
      </c>
      <c r="B42" s="15" t="s">
        <v>225</v>
      </c>
      <c r="C42" s="15" t="s">
        <v>169</v>
      </c>
      <c r="D42" s="15" t="s">
        <v>184</v>
      </c>
      <c r="E42" s="15" t="s">
        <v>171</v>
      </c>
      <c r="F42" s="15" t="s">
        <v>256</v>
      </c>
    </row>
    <row r="43" spans="1:6" x14ac:dyDescent="0.25">
      <c r="A43" s="16" t="s">
        <v>254</v>
      </c>
      <c r="B43" s="16" t="s">
        <v>257</v>
      </c>
      <c r="C43" s="16" t="s">
        <v>169</v>
      </c>
      <c r="D43" s="16" t="s">
        <v>184</v>
      </c>
      <c r="E43" s="16" t="s">
        <v>171</v>
      </c>
      <c r="F43" s="16" t="s">
        <v>258</v>
      </c>
    </row>
    <row r="44" spans="1:6" x14ac:dyDescent="0.25">
      <c r="A44" s="15" t="s">
        <v>254</v>
      </c>
      <c r="B44" s="15" t="s">
        <v>223</v>
      </c>
      <c r="C44" s="15" t="s">
        <v>169</v>
      </c>
      <c r="D44" s="15" t="s">
        <v>184</v>
      </c>
      <c r="E44" s="15" t="s">
        <v>179</v>
      </c>
      <c r="F44" s="15" t="s">
        <v>259</v>
      </c>
    </row>
    <row r="45" spans="1:6" x14ac:dyDescent="0.25">
      <c r="A45" s="16" t="s">
        <v>254</v>
      </c>
      <c r="B45" s="16" t="s">
        <v>195</v>
      </c>
      <c r="C45" s="16" t="s">
        <v>196</v>
      </c>
      <c r="D45" s="16" t="s">
        <v>175</v>
      </c>
      <c r="E45" s="16" t="s">
        <v>171</v>
      </c>
      <c r="F45" s="16" t="s">
        <v>260</v>
      </c>
    </row>
    <row r="46" spans="1:6" x14ac:dyDescent="0.25">
      <c r="A46" s="15" t="s">
        <v>254</v>
      </c>
      <c r="B46" s="15" t="s">
        <v>219</v>
      </c>
      <c r="C46" s="15" t="s">
        <v>261</v>
      </c>
      <c r="D46" s="15" t="s">
        <v>175</v>
      </c>
      <c r="E46" s="15" t="s">
        <v>171</v>
      </c>
      <c r="F46" s="15" t="s">
        <v>262</v>
      </c>
    </row>
    <row r="47" spans="1:6" x14ac:dyDescent="0.25">
      <c r="A47" s="16" t="s">
        <v>254</v>
      </c>
      <c r="B47" s="16" t="s">
        <v>263</v>
      </c>
      <c r="C47" s="16" t="s">
        <v>248</v>
      </c>
      <c r="D47" s="16" t="s">
        <v>175</v>
      </c>
      <c r="E47" s="16" t="s">
        <v>171</v>
      </c>
      <c r="F47" s="16" t="s">
        <v>264</v>
      </c>
    </row>
    <row r="48" spans="1:6" x14ac:dyDescent="0.25">
      <c r="A48" s="15" t="s">
        <v>265</v>
      </c>
      <c r="B48" s="15" t="s">
        <v>168</v>
      </c>
      <c r="C48" s="15" t="s">
        <v>169</v>
      </c>
      <c r="D48" s="15" t="s">
        <v>170</v>
      </c>
      <c r="E48" s="15" t="s">
        <v>171</v>
      </c>
      <c r="F48" s="15" t="s">
        <v>266</v>
      </c>
    </row>
    <row r="49" spans="1:6" x14ac:dyDescent="0.25">
      <c r="A49" s="16" t="s">
        <v>265</v>
      </c>
      <c r="B49" s="16" t="s">
        <v>267</v>
      </c>
      <c r="C49" s="16" t="s">
        <v>169</v>
      </c>
      <c r="D49" s="16" t="s">
        <v>184</v>
      </c>
      <c r="E49" s="16" t="s">
        <v>171</v>
      </c>
      <c r="F49" s="16" t="s">
        <v>268</v>
      </c>
    </row>
    <row r="50" spans="1:6" x14ac:dyDescent="0.25">
      <c r="A50" s="15" t="s">
        <v>265</v>
      </c>
      <c r="B50" s="15" t="s">
        <v>269</v>
      </c>
      <c r="C50" s="15" t="s">
        <v>169</v>
      </c>
      <c r="D50" s="15" t="s">
        <v>184</v>
      </c>
      <c r="E50" s="15" t="s">
        <v>171</v>
      </c>
      <c r="F50" s="15" t="s">
        <v>270</v>
      </c>
    </row>
    <row r="51" spans="1:6" x14ac:dyDescent="0.25">
      <c r="A51" s="16" t="s">
        <v>265</v>
      </c>
      <c r="B51" s="16" t="s">
        <v>271</v>
      </c>
      <c r="C51" s="16" t="s">
        <v>169</v>
      </c>
      <c r="D51" s="16" t="s">
        <v>175</v>
      </c>
      <c r="E51" s="16" t="s">
        <v>171</v>
      </c>
      <c r="F51" s="16" t="s">
        <v>272</v>
      </c>
    </row>
    <row r="52" spans="1:6" x14ac:dyDescent="0.25">
      <c r="A52" s="15" t="s">
        <v>265</v>
      </c>
      <c r="B52" s="15" t="s">
        <v>273</v>
      </c>
      <c r="C52" s="15" t="s">
        <v>248</v>
      </c>
      <c r="D52" s="15" t="s">
        <v>175</v>
      </c>
      <c r="E52" s="15" t="s">
        <v>171</v>
      </c>
      <c r="F52" s="15" t="s">
        <v>274</v>
      </c>
    </row>
    <row r="53" spans="1:6" x14ac:dyDescent="0.25">
      <c r="A53" s="16" t="s">
        <v>265</v>
      </c>
      <c r="B53" s="16" t="s">
        <v>275</v>
      </c>
      <c r="C53" s="16" t="s">
        <v>248</v>
      </c>
      <c r="D53" s="16" t="s">
        <v>175</v>
      </c>
      <c r="E53" s="16" t="s">
        <v>171</v>
      </c>
      <c r="F53" s="16" t="s">
        <v>276</v>
      </c>
    </row>
    <row r="54" spans="1:6" x14ac:dyDescent="0.25">
      <c r="A54" s="15" t="s">
        <v>265</v>
      </c>
      <c r="B54" s="15" t="s">
        <v>277</v>
      </c>
      <c r="C54" s="15" t="s">
        <v>178</v>
      </c>
      <c r="D54" s="15" t="s">
        <v>175</v>
      </c>
      <c r="E54" s="15" t="s">
        <v>179</v>
      </c>
      <c r="F54" s="15" t="s">
        <v>278</v>
      </c>
    </row>
    <row r="55" spans="1:6" x14ac:dyDescent="0.25">
      <c r="A55" s="16" t="s">
        <v>279</v>
      </c>
      <c r="B55" s="16" t="s">
        <v>168</v>
      </c>
      <c r="C55" s="16" t="s">
        <v>169</v>
      </c>
      <c r="D55" s="16" t="s">
        <v>170</v>
      </c>
      <c r="E55" s="16" t="s">
        <v>171</v>
      </c>
      <c r="F55" s="16" t="s">
        <v>280</v>
      </c>
    </row>
    <row r="56" spans="1:6" x14ac:dyDescent="0.25">
      <c r="A56" s="15" t="s">
        <v>279</v>
      </c>
      <c r="B56" s="15" t="s">
        <v>267</v>
      </c>
      <c r="C56" s="15" t="s">
        <v>169</v>
      </c>
      <c r="D56" s="15" t="s">
        <v>184</v>
      </c>
      <c r="E56" s="15" t="s">
        <v>171</v>
      </c>
      <c r="F56" s="15" t="s">
        <v>281</v>
      </c>
    </row>
    <row r="57" spans="1:6" x14ac:dyDescent="0.25">
      <c r="A57" s="16" t="s">
        <v>279</v>
      </c>
      <c r="B57" s="16" t="s">
        <v>223</v>
      </c>
      <c r="C57" s="16" t="s">
        <v>169</v>
      </c>
      <c r="D57" s="16" t="s">
        <v>184</v>
      </c>
      <c r="E57" s="16" t="s">
        <v>171</v>
      </c>
      <c r="F57" s="16" t="s">
        <v>282</v>
      </c>
    </row>
    <row r="58" spans="1:6" x14ac:dyDescent="0.25">
      <c r="A58" s="15" t="s">
        <v>279</v>
      </c>
      <c r="B58" s="15" t="s">
        <v>283</v>
      </c>
      <c r="C58" s="15" t="s">
        <v>169</v>
      </c>
      <c r="D58" s="15" t="s">
        <v>184</v>
      </c>
      <c r="E58" s="15" t="s">
        <v>171</v>
      </c>
      <c r="F58" s="15" t="s">
        <v>284</v>
      </c>
    </row>
    <row r="59" spans="1:6" x14ac:dyDescent="0.25">
      <c r="A59" s="16" t="s">
        <v>279</v>
      </c>
      <c r="B59" s="16" t="s">
        <v>285</v>
      </c>
      <c r="C59" s="16" t="s">
        <v>174</v>
      </c>
      <c r="D59" s="16" t="s">
        <v>175</v>
      </c>
      <c r="E59" s="16" t="s">
        <v>171</v>
      </c>
      <c r="F59" s="16" t="s">
        <v>286</v>
      </c>
    </row>
    <row r="60" spans="1:6" x14ac:dyDescent="0.25">
      <c r="A60" s="15" t="s">
        <v>279</v>
      </c>
      <c r="B60" s="15" t="s">
        <v>287</v>
      </c>
      <c r="C60" s="15" t="s">
        <v>196</v>
      </c>
      <c r="D60" s="15" t="s">
        <v>175</v>
      </c>
      <c r="E60" s="15" t="s">
        <v>171</v>
      </c>
      <c r="F60" s="15" t="s">
        <v>288</v>
      </c>
    </row>
    <row r="61" spans="1:6" x14ac:dyDescent="0.25">
      <c r="A61" s="16" t="s">
        <v>279</v>
      </c>
      <c r="B61" s="16" t="s">
        <v>275</v>
      </c>
      <c r="C61" s="16" t="s">
        <v>248</v>
      </c>
      <c r="D61" s="16" t="s">
        <v>175</v>
      </c>
      <c r="E61" s="16" t="s">
        <v>171</v>
      </c>
      <c r="F61" s="16" t="s">
        <v>289</v>
      </c>
    </row>
    <row r="62" spans="1:6" x14ac:dyDescent="0.25">
      <c r="A62" s="15" t="s">
        <v>279</v>
      </c>
      <c r="B62" s="15" t="s">
        <v>290</v>
      </c>
      <c r="C62" s="15" t="s">
        <v>248</v>
      </c>
      <c r="D62" s="15" t="s">
        <v>175</v>
      </c>
      <c r="E62" s="15" t="s">
        <v>171</v>
      </c>
      <c r="F62" s="15" t="s">
        <v>291</v>
      </c>
    </row>
    <row r="63" spans="1:6" x14ac:dyDescent="0.25">
      <c r="A63" s="16" t="s">
        <v>279</v>
      </c>
      <c r="B63" s="16" t="s">
        <v>292</v>
      </c>
      <c r="C63" s="16" t="s">
        <v>248</v>
      </c>
      <c r="D63" s="16" t="s">
        <v>175</v>
      </c>
      <c r="E63" s="16" t="s">
        <v>171</v>
      </c>
      <c r="F63" s="16" t="s">
        <v>293</v>
      </c>
    </row>
    <row r="64" spans="1:6" x14ac:dyDescent="0.25">
      <c r="A64" s="15" t="s">
        <v>279</v>
      </c>
      <c r="B64" s="15" t="s">
        <v>294</v>
      </c>
      <c r="C64" s="15" t="s">
        <v>248</v>
      </c>
      <c r="D64" s="15" t="s">
        <v>175</v>
      </c>
      <c r="E64" s="15" t="s">
        <v>171</v>
      </c>
      <c r="F64" s="15" t="s">
        <v>295</v>
      </c>
    </row>
    <row r="65" spans="1:6" x14ac:dyDescent="0.25">
      <c r="A65" s="16" t="s">
        <v>296</v>
      </c>
      <c r="B65" s="16" t="s">
        <v>168</v>
      </c>
      <c r="C65" s="16" t="s">
        <v>169</v>
      </c>
      <c r="D65" s="16" t="s">
        <v>170</v>
      </c>
      <c r="E65" s="16" t="s">
        <v>171</v>
      </c>
      <c r="F65" s="16" t="s">
        <v>297</v>
      </c>
    </row>
    <row r="66" spans="1:6" x14ac:dyDescent="0.25">
      <c r="A66" s="15" t="s">
        <v>296</v>
      </c>
      <c r="B66" s="15" t="s">
        <v>173</v>
      </c>
      <c r="C66" s="15" t="s">
        <v>174</v>
      </c>
      <c r="D66" s="15" t="s">
        <v>175</v>
      </c>
      <c r="E66" s="15" t="s">
        <v>171</v>
      </c>
      <c r="F66" s="15" t="s">
        <v>298</v>
      </c>
    </row>
    <row r="67" spans="1:6" x14ac:dyDescent="0.25">
      <c r="A67" s="16" t="s">
        <v>296</v>
      </c>
      <c r="B67" s="16" t="s">
        <v>192</v>
      </c>
      <c r="C67" s="16" t="s">
        <v>193</v>
      </c>
      <c r="D67" s="16" t="s">
        <v>175</v>
      </c>
      <c r="E67" s="16" t="s">
        <v>171</v>
      </c>
      <c r="F67" s="16" t="s">
        <v>299</v>
      </c>
    </row>
    <row r="68" spans="1:6" x14ac:dyDescent="0.25">
      <c r="A68" s="15" t="s">
        <v>300</v>
      </c>
      <c r="B68" s="15" t="s">
        <v>168</v>
      </c>
      <c r="C68" s="15" t="s">
        <v>169</v>
      </c>
      <c r="D68" s="15" t="s">
        <v>170</v>
      </c>
      <c r="E68" s="15" t="s">
        <v>171</v>
      </c>
      <c r="F68" s="15" t="s">
        <v>301</v>
      </c>
    </row>
    <row r="69" spans="1:6" x14ac:dyDescent="0.25">
      <c r="A69" s="16" t="s">
        <v>300</v>
      </c>
      <c r="B69" s="16" t="s">
        <v>302</v>
      </c>
      <c r="C69" s="16" t="s">
        <v>169</v>
      </c>
      <c r="D69" s="16" t="s">
        <v>184</v>
      </c>
      <c r="E69" s="16" t="s">
        <v>171</v>
      </c>
      <c r="F69" s="16" t="s">
        <v>303</v>
      </c>
    </row>
    <row r="70" spans="1:6" x14ac:dyDescent="0.25">
      <c r="A70" s="15" t="s">
        <v>300</v>
      </c>
      <c r="B70" s="15" t="s">
        <v>304</v>
      </c>
      <c r="C70" s="15" t="s">
        <v>169</v>
      </c>
      <c r="D70" s="15" t="s">
        <v>184</v>
      </c>
      <c r="E70" s="15" t="s">
        <v>171</v>
      </c>
      <c r="F70" s="15" t="s">
        <v>305</v>
      </c>
    </row>
    <row r="71" spans="1:6" x14ac:dyDescent="0.25">
      <c r="A71" s="16" t="s">
        <v>300</v>
      </c>
      <c r="B71" s="16" t="s">
        <v>306</v>
      </c>
      <c r="C71" s="16" t="s">
        <v>248</v>
      </c>
      <c r="D71" s="16" t="s">
        <v>175</v>
      </c>
      <c r="E71" s="16" t="s">
        <v>171</v>
      </c>
      <c r="F71" s="16" t="s">
        <v>307</v>
      </c>
    </row>
    <row r="72" spans="1:6" x14ac:dyDescent="0.25">
      <c r="A72" s="15" t="s">
        <v>300</v>
      </c>
      <c r="B72" s="15" t="s">
        <v>308</v>
      </c>
      <c r="C72" s="15" t="s">
        <v>196</v>
      </c>
      <c r="D72" s="15" t="s">
        <v>175</v>
      </c>
      <c r="E72" s="15" t="s">
        <v>171</v>
      </c>
      <c r="F72" s="1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Cronograma General</vt:lpstr>
      <vt:lpstr>PJOA</vt:lpstr>
      <vt:lpstr>HU</vt:lpstr>
      <vt:lpstr>CU</vt:lpstr>
      <vt:lpstr>RF-RNF</vt:lpstr>
      <vt:lpstr>ME-R</vt:lpstr>
      <vt:lpstr>DC</vt:lpstr>
      <vt:lpstr>DCPS</vt:lpstr>
      <vt:lpstr>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Sebastian Largo Muñoz</cp:lastModifiedBy>
  <cp:revision/>
  <dcterms:created xsi:type="dcterms:W3CDTF">2026-09-12T04:48:04Z</dcterms:created>
  <dcterms:modified xsi:type="dcterms:W3CDTF">2026-10-15T22:01:44Z</dcterms:modified>
  <cp:category/>
  <cp:contentStatus/>
</cp:coreProperties>
</file>